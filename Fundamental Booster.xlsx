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155"/>
  </bookViews>
  <sheets>
    <sheet name="Students Grade" sheetId="1" r:id="rId1"/>
    <sheet name="Sales Id" sheetId="2" r:id="rId2"/>
    <sheet name="Sheet3" sheetId="3" r:id="rId3"/>
  </sheets>
  <definedNames>
    <definedName name="Salary">Table3[[#All],[Salary]]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3" l="1"/>
  <c r="B28" i="3"/>
  <c r="B26" i="3"/>
  <c r="B27" i="3"/>
  <c r="C25" i="3"/>
  <c r="B30" i="3"/>
  <c r="C27" i="1" l="1"/>
  <c r="B28" i="1"/>
  <c r="B27" i="1"/>
  <c r="B30" i="1"/>
  <c r="B29" i="1"/>
  <c r="E26" i="2"/>
  <c r="B24" i="3"/>
  <c r="B23" i="3"/>
  <c r="E25" i="2"/>
  <c r="B26" i="1"/>
  <c r="E24" i="2"/>
  <c r="B24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14" i="1"/>
  <c r="J15" i="1"/>
  <c r="J16" i="1"/>
  <c r="J17" i="1"/>
  <c r="J18" i="1"/>
  <c r="J19" i="1"/>
  <c r="J20" i="1"/>
  <c r="J21" i="1"/>
  <c r="J3" i="1"/>
  <c r="J4" i="1"/>
  <c r="J5" i="1"/>
  <c r="J6" i="1"/>
  <c r="J7" i="1"/>
  <c r="J8" i="1"/>
  <c r="J9" i="1"/>
  <c r="J10" i="1"/>
  <c r="J11" i="1"/>
  <c r="J12" i="1"/>
  <c r="J13" i="1"/>
  <c r="J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G2" i="1"/>
  <c r="H2" i="1" s="1"/>
  <c r="I2" i="1" s="1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E28" i="2"/>
  <c r="E27" i="2"/>
  <c r="B25" i="1" l="1"/>
</calcChain>
</file>

<file path=xl/sharedStrings.xml><?xml version="1.0" encoding="utf-8"?>
<sst xmlns="http://schemas.openxmlformats.org/spreadsheetml/2006/main" count="173" uniqueCount="116">
  <si>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</si>
  <si>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</si>
  <si>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</si>
  <si>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</si>
  <si>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</si>
  <si>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</si>
  <si>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</si>
  <si>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</si>
  <si>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</si>
  <si>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</si>
  <si>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</si>
  <si>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</si>
  <si>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</si>
  <si>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</si>
  <si>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</si>
  <si>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</si>
  <si>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</si>
  <si>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</si>
  <si>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</si>
  <si>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</si>
  <si>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</si>
  <si>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</si>
  <si>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</si>
  <si>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</si>
  <si>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</si>
  <si>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 ID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</si>
  <si>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</si>
  <si>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</si>
  <si>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</si>
  <si>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</si>
  <si>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</si>
  <si>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</si>
  <si>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</si>
  <si>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</si>
  <si>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</si>
  <si>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</si>
  <si>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</si>
  <si>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</si>
  <si>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</si>
  <si>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</si>
  <si>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</si>
  <si>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</si>
  <si>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</si>
  <si>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</si>
  <si>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</si>
  <si>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</si>
  <si>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</si>
  <si>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</si>
  <si>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</si>
  <si>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</si>
  <si>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</si>
  <si>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</si>
  <si>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</si>
  <si>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</si>
  <si>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</si>
  <si>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</si>
  <si>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</si>
  <si>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</si>
  <si>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</si>
  <si>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</si>
  <si>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</si>
  <si>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</si>
  <si>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</si>
  <si>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</si>
  <si>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</si>
  <si>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</si>
  <si>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</si>
  <si>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</si>
  <si>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</si>
  <si>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</si>
  <si>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</si>
  <si>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</si>
  <si>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</si>
  <si>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</si>
  <si>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</si>
  <si>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</si>
  <si>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</si>
  <si>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</si>
  <si>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</si>
  <si>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</si>
  <si>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</si>
  <si>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</si>
  <si>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</si>
  <si>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</si>
  <si>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</si>
  <si>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</si>
  <si>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</si>
  <si>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</si>
  <si>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</si>
  <si>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Total Marks</t>
  </si>
  <si>
    <t>Per(%)</t>
  </si>
  <si>
    <t>Grad</t>
  </si>
  <si>
    <t>Discount</t>
  </si>
  <si>
    <t>Column1</t>
  </si>
  <si>
    <t>COUNTIFS</t>
  </si>
  <si>
    <t>SUMIFS</t>
  </si>
  <si>
    <t>AVERAGEIFS</t>
  </si>
  <si>
    <t>VLOOKUP</t>
  </si>
  <si>
    <t>INDEX &amp; MATCH</t>
  </si>
  <si>
    <t>Column2</t>
  </si>
  <si>
    <t>Column3</t>
  </si>
  <si>
    <t>LOOK UP</t>
  </si>
  <si>
    <t>UPPER</t>
  </si>
  <si>
    <t>LOWER</t>
  </si>
  <si>
    <t>LEFT</t>
  </si>
  <si>
    <t>FIND</t>
  </si>
  <si>
    <t>XLOOKUP</t>
  </si>
  <si>
    <t>INDEX MATCH</t>
  </si>
  <si>
    <t>XMATCH</t>
  </si>
  <si>
    <t>Date &amp; Time</t>
  </si>
  <si>
    <t xml:space="preserve">DIFFERNCE </t>
  </si>
  <si>
    <t>ROUND</t>
  </si>
  <si>
    <t>CEILING</t>
  </si>
  <si>
    <t>FLOOR</t>
  </si>
  <si>
    <t>FILTER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</si>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</sst>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2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22" fontId="0" fillId="0" borderId="0" xfId="0" applyNumberForma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22" fontId="0" fillId="3" borderId="0" xfId="0" applyNumberFormat="1" applyFill="1" applyBorder="1" applyAlignment="1">
      <alignment horizontal="center" vertical="center" wrapText="1"/>
    </xf>
    <xf numFmtId="0" fontId="0" fillId="3" borderId="0" xfId="0" applyNumberForma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2" fontId="0" fillId="0" borderId="6" xfId="0" applyNumberFormat="1" applyBorder="1" applyAlignment="1">
      <alignment horizontal="center" vertical="center" wrapText="1"/>
    </xf>
    <xf numFmtId="22" fontId="0" fillId="0" borderId="9" xfId="0" applyNumberFormat="1" applyBorder="1" applyAlignment="1">
      <alignment horizontal="center" vertical="center" wrapText="1"/>
    </xf>
    <xf numFmtId="0" fontId="1" fillId="0" borderId="1" xfId="0" applyFont="1" applyFill="1" applyBorder="1"/>
    <xf numFmtId="0" fontId="1" fillId="0" borderId="8" xfId="0" applyFont="1" applyBorder="1"/>
    <xf numFmtId="0" fontId="0" fillId="0" borderId="8" xfId="0" applyBorder="1"/>
    <xf numFmtId="14" fontId="0" fillId="0" borderId="1" xfId="0" applyNumberFormat="1" applyBorder="1"/>
  </cellXfs>
  <cellStyles count="1">
    <cellStyle name="Normal" xfId="0" builtinId="0"/>
  </cellStyles>
  <dxfs count="40">
    <dxf>
      <numFmt numFmtId="27" formatCode="m/d/yyyy\ 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21" totalsRowShown="0" headerRowDxfId="39" dataDxfId="37" headerRowBorderDxfId="38" tableBorderDxfId="36" totalsRowBorderDxfId="35">
  <autoFilter ref="A1:J21"/>
  <tableColumns count="10">
    <tableColumn id="1" name="Student  ID" dataDxfId="34"/>
    <tableColumn id="2" name="Name" dataDxfId="33"/>
    <tableColumn id="3" name="Math" dataDxfId="32"/>
    <tableColumn id="4" name="Science" dataDxfId="31"/>
    <tableColumn id="5" name="English" dataDxfId="30"/>
    <tableColumn id="6" name="Enrollment Date" dataDxfId="29"/>
    <tableColumn id="7" name="Total Marks" dataDxfId="28">
      <calculatedColumnFormula>SUM(Table1[[#This Row],[Math]],Table1[[#This Row],[Science]],Table1[[#This Row],[English]])</calculatedColumnFormula>
    </tableColumn>
    <tableColumn id="8" name="Per(%)" dataDxfId="27">
      <calculatedColumnFormula>$G2/300*100</calculatedColumnFormula>
    </tableColumn>
    <tableColumn id="9" name="Grad" dataDxfId="26">
      <calculatedColumnFormula>IF(H2&gt;85,"A",IF(H2&gt;65,"B",IF(H2&gt;35,"C","D")))</calculatedColumnFormula>
    </tableColumn>
    <tableColumn id="10" name="Column1" dataDxfId="25">
      <calculatedColumnFormula>IF(AND(C2&gt;80, D2&gt;80),"Above 80","Below 80")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2:K22" totalsRowShown="0" headerRowDxfId="24" dataDxfId="22" headerRowBorderDxfId="23" tableBorderDxfId="21" totalsRowBorderDxfId="20">
  <autoFilter ref="B2:K22"/>
  <tableColumns count="10">
    <tableColumn id="1" name="Sales ID" dataDxfId="19"/>
    <tableColumn id="10" name="Column2" dataDxfId="18"/>
    <tableColumn id="2" name="Product" dataDxfId="17"/>
    <tableColumn id="3" name="Region" dataDxfId="16"/>
    <tableColumn id="4" name="Salesperson" dataDxfId="15"/>
    <tableColumn id="5" name="Amount" dataDxfId="14"/>
    <tableColumn id="6" name="Date" dataDxfId="13"/>
    <tableColumn id="7" name="Discount" dataDxfId="12">
      <calculatedColumnFormula>IF(G3&gt;30000,"5%",IF(G3&gt;20000,"3%","1%"))</calculatedColumnFormula>
    </tableColumn>
    <tableColumn id="8" name="Column1" dataDxfId="11">
      <calculatedColumnFormula>IF(OR(G3=0,G3&lt;7500),"NOT ELIGIBLE","ELIGIBLE")</calculatedColumnFormula>
    </tableColumn>
    <tableColumn id="9" name="Column3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21" totalsRowShown="0" headerRowDxfId="9" dataDxfId="7" headerRowBorderDxfId="8" tableBorderDxfId="6" totalsRowBorderDxfId="5">
  <autoFilter ref="A1:E21"/>
  <tableColumns count="5">
    <tableColumn id="1" name="Employee ID" dataDxfId="4"/>
    <tableColumn id="2" name="Name" dataDxfId="3"/>
    <tableColumn id="3" name="Department" dataDxfId="2"/>
    <tableColumn id="4" name="Salary" dataDxfId="1"/>
    <tableColumn id="5" name="Joining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M10" sqref="M10"/>
    </sheetView>
  </sheetViews>
  <sheetFormatPr defaultRowHeight="15" x14ac:dyDescent="0.25"/>
  <cols>
    <col min="1" max="1" width="12.85546875" customWidth="1"/>
    <col min="2" max="2" width="11.28515625" customWidth="1"/>
    <col min="3" max="3" width="10.28515625" bestFit="1" customWidth="1"/>
    <col min="4" max="4" width="12.28515625" bestFit="1" customWidth="1"/>
    <col min="5" max="5" width="11.85546875" bestFit="1" customWidth="1"/>
    <col min="6" max="6" width="20.140625" bestFit="1" customWidth="1"/>
    <col min="7" max="7" width="11" bestFit="1" customWidth="1"/>
    <col min="8" max="8" width="11.5703125" style="16" bestFit="1" customWidth="1"/>
    <col min="9" max="9" width="9.85546875" bestFit="1" customWidth="1"/>
    <col min="10" max="10" width="13.42578125" bestFit="1" customWidth="1"/>
  </cols>
  <sheetData>
    <row r="1" spans="1:10" ht="30" x14ac:dyDescent="0.25">
      <c r="A1" s="1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89</v>
      </c>
      <c r="H1" s="12" t="s">
        <v>90</v>
      </c>
      <c r="I1" s="17" t="s">
        <v>91</v>
      </c>
      <c r="J1" s="17" t="s">
        <v>93</v>
      </c>
    </row>
    <row r="2" spans="1:10" ht="19.5" customHeight="1" x14ac:dyDescent="0.25">
      <c r="A2" s="4">
        <v>1001</v>
      </c>
      <c r="B2" s="5" t="s">
        <v>5</v>
      </c>
      <c r="C2" s="5">
        <v>61</v>
      </c>
      <c r="D2" s="5">
        <v>48</v>
      </c>
      <c r="E2" s="5">
        <v>76</v>
      </c>
      <c r="F2" s="6">
        <v>43101</v>
      </c>
      <c r="G2" s="7">
        <f>SUM(Table1[[#This Row],[Math]],Table1[[#This Row],[Science]],Table1[[#This Row],[English]])</f>
        <v>185</v>
      </c>
      <c r="H2" s="13">
        <f t="shared" ref="H2:H21" si="0">$G2/300*100</f>
        <v>61.666666666666671</v>
      </c>
      <c r="I2" s="5" t="str">
        <f t="shared" ref="I2:I21" si="1">IF(H2&gt;85,"A",IF(H2&gt;65,"B",IF(H2&gt;35,"C","D")))</f>
        <v>C</v>
      </c>
      <c r="J2" s="5" t="str">
        <f>IF(AND(C2&gt;80, D2&gt;80),"Greater 80","less 80")</f>
        <v>less 80</v>
      </c>
    </row>
    <row r="3" spans="1:10" ht="16.5" customHeight="1" x14ac:dyDescent="0.25">
      <c r="A3" s="4">
        <v>1002</v>
      </c>
      <c r="B3" s="5" t="s">
        <v>6</v>
      </c>
      <c r="C3" s="5">
        <v>78</v>
      </c>
      <c r="D3" s="5">
        <v>76</v>
      </c>
      <c r="E3" s="5">
        <v>70</v>
      </c>
      <c r="F3" s="6">
        <v>43281</v>
      </c>
      <c r="G3" s="7">
        <f>SUM(Table1[[#This Row],[Math]],Table1[[#This Row],[Science]],Table1[[#This Row],[English]])</f>
        <v>224</v>
      </c>
      <c r="H3" s="14">
        <f t="shared" si="0"/>
        <v>74.666666666666671</v>
      </c>
      <c r="I3" s="5" t="str">
        <f t="shared" si="1"/>
        <v>B</v>
      </c>
      <c r="J3" s="5" t="str">
        <f t="shared" ref="J3:J21" si="2">IF(AND(C3&gt;80, D3&gt;80),"Greater 80","less 80")</f>
        <v>less 80</v>
      </c>
    </row>
    <row r="4" spans="1:10" x14ac:dyDescent="0.25">
      <c r="A4" s="4">
        <v>1003</v>
      </c>
      <c r="B4" s="5" t="s">
        <v>7</v>
      </c>
      <c r="C4" s="5">
        <v>97</v>
      </c>
      <c r="D4" s="5">
        <v>60</v>
      </c>
      <c r="E4" s="5">
        <v>51</v>
      </c>
      <c r="F4" s="6">
        <v>43461</v>
      </c>
      <c r="G4" s="7">
        <f>SUM(Table1[[#This Row],[Math]],Table1[[#This Row],[Science]],Table1[[#This Row],[English]])</f>
        <v>208</v>
      </c>
      <c r="H4" s="14">
        <f t="shared" si="0"/>
        <v>69.333333333333343</v>
      </c>
      <c r="I4" s="5" t="str">
        <f t="shared" si="1"/>
        <v>B</v>
      </c>
      <c r="J4" s="5" t="str">
        <f t="shared" si="2"/>
        <v>less 80</v>
      </c>
    </row>
    <row r="5" spans="1:10" x14ac:dyDescent="0.25">
      <c r="A5" s="4">
        <v>1004</v>
      </c>
      <c r="B5" s="5" t="s">
        <v>8</v>
      </c>
      <c r="C5" s="5">
        <v>74</v>
      </c>
      <c r="D5" s="5">
        <v>55</v>
      </c>
      <c r="E5" s="5">
        <v>46</v>
      </c>
      <c r="F5" s="6">
        <v>43641</v>
      </c>
      <c r="G5" s="7">
        <f>SUM(Table1[[#This Row],[Math]],Table1[[#This Row],[Science]],Table1[[#This Row],[English]])</f>
        <v>175</v>
      </c>
      <c r="H5" s="14">
        <f t="shared" si="0"/>
        <v>58.333333333333336</v>
      </c>
      <c r="I5" s="5" t="str">
        <f t="shared" si="1"/>
        <v>C</v>
      </c>
      <c r="J5" s="5" t="str">
        <f t="shared" si="2"/>
        <v>less 80</v>
      </c>
    </row>
    <row r="6" spans="1:10" x14ac:dyDescent="0.25">
      <c r="A6" s="4">
        <v>1005</v>
      </c>
      <c r="B6" s="5" t="s">
        <v>9</v>
      </c>
      <c r="C6" s="5">
        <v>68</v>
      </c>
      <c r="D6" s="5">
        <v>74</v>
      </c>
      <c r="E6" s="5">
        <v>84</v>
      </c>
      <c r="F6" s="6">
        <v>43821</v>
      </c>
      <c r="G6" s="7">
        <f>SUM(Table1[[#This Row],[Math]],Table1[[#This Row],[Science]],Table1[[#This Row],[English]])</f>
        <v>226</v>
      </c>
      <c r="H6" s="14">
        <f t="shared" si="0"/>
        <v>75.333333333333329</v>
      </c>
      <c r="I6" s="5" t="str">
        <f t="shared" si="1"/>
        <v>B</v>
      </c>
      <c r="J6" s="5" t="str">
        <f t="shared" si="2"/>
        <v>less 80</v>
      </c>
    </row>
    <row r="7" spans="1:10" x14ac:dyDescent="0.25">
      <c r="A7" s="4">
        <v>1006</v>
      </c>
      <c r="B7" s="5" t="s">
        <v>10</v>
      </c>
      <c r="C7" s="5">
        <v>80</v>
      </c>
      <c r="D7" s="5">
        <v>70</v>
      </c>
      <c r="E7" s="5">
        <v>65</v>
      </c>
      <c r="F7" s="6">
        <v>44001</v>
      </c>
      <c r="G7" s="7">
        <f>SUM(Table1[[#This Row],[Math]],Table1[[#This Row],[Science]],Table1[[#This Row],[English]])</f>
        <v>215</v>
      </c>
      <c r="H7" s="14">
        <f t="shared" si="0"/>
        <v>71.666666666666671</v>
      </c>
      <c r="I7" s="5" t="str">
        <f t="shared" si="1"/>
        <v>B</v>
      </c>
      <c r="J7" s="5" t="str">
        <f t="shared" si="2"/>
        <v>less 80</v>
      </c>
    </row>
    <row r="8" spans="1:10" x14ac:dyDescent="0.25">
      <c r="A8" s="4">
        <v>1007</v>
      </c>
      <c r="B8" s="5" t="s">
        <v>11</v>
      </c>
      <c r="C8" s="5">
        <v>75</v>
      </c>
      <c r="D8" s="5">
        <v>47</v>
      </c>
      <c r="E8" s="5">
        <v>78</v>
      </c>
      <c r="F8" s="6">
        <v>44181</v>
      </c>
      <c r="G8" s="7">
        <f>SUM(Table1[[#This Row],[Math]],Table1[[#This Row],[Science]],Table1[[#This Row],[English]])</f>
        <v>200</v>
      </c>
      <c r="H8" s="14">
        <f t="shared" si="0"/>
        <v>66.666666666666657</v>
      </c>
      <c r="I8" s="5" t="str">
        <f t="shared" si="1"/>
        <v>B</v>
      </c>
      <c r="J8" s="5" t="str">
        <f t="shared" si="2"/>
        <v>less 80</v>
      </c>
    </row>
    <row r="9" spans="1:10" x14ac:dyDescent="0.25">
      <c r="A9" s="4">
        <v>1008</v>
      </c>
      <c r="B9" s="5" t="s">
        <v>12</v>
      </c>
      <c r="C9" s="5">
        <v>94</v>
      </c>
      <c r="D9" s="5">
        <v>67</v>
      </c>
      <c r="E9" s="5">
        <v>64</v>
      </c>
      <c r="F9" s="6">
        <v>44361</v>
      </c>
      <c r="G9" s="7">
        <f>SUM(Table1[[#This Row],[Math]],Table1[[#This Row],[Science]],Table1[[#This Row],[English]])</f>
        <v>225</v>
      </c>
      <c r="H9" s="14">
        <f t="shared" si="0"/>
        <v>75</v>
      </c>
      <c r="I9" s="5" t="str">
        <f t="shared" si="1"/>
        <v>B</v>
      </c>
      <c r="J9" s="5" t="str">
        <f t="shared" si="2"/>
        <v>less 80</v>
      </c>
    </row>
    <row r="10" spans="1:10" x14ac:dyDescent="0.25">
      <c r="A10" s="4">
        <v>1009</v>
      </c>
      <c r="B10" s="5" t="s">
        <v>13</v>
      </c>
      <c r="C10" s="5">
        <v>41</v>
      </c>
      <c r="D10" s="5">
        <v>75</v>
      </c>
      <c r="E10" s="5">
        <v>56</v>
      </c>
      <c r="F10" s="6">
        <v>44541</v>
      </c>
      <c r="G10" s="7">
        <f>SUM(Table1[[#This Row],[Math]],Table1[[#This Row],[Science]],Table1[[#This Row],[English]])</f>
        <v>172</v>
      </c>
      <c r="H10" s="14">
        <f t="shared" si="0"/>
        <v>57.333333333333336</v>
      </c>
      <c r="I10" s="5" t="str">
        <f t="shared" si="1"/>
        <v>C</v>
      </c>
      <c r="J10" s="5" t="str">
        <f t="shared" si="2"/>
        <v>less 80</v>
      </c>
    </row>
    <row r="11" spans="1:10" x14ac:dyDescent="0.25">
      <c r="A11" s="4">
        <v>1010</v>
      </c>
      <c r="B11" s="5" t="s">
        <v>14</v>
      </c>
      <c r="C11" s="5">
        <v>98</v>
      </c>
      <c r="D11" s="5">
        <v>54</v>
      </c>
      <c r="E11" s="5">
        <v>58</v>
      </c>
      <c r="F11" s="6">
        <v>44721</v>
      </c>
      <c r="G11" s="7">
        <f>SUM(Table1[[#This Row],[Math]],Table1[[#This Row],[Science]],Table1[[#This Row],[English]])</f>
        <v>210</v>
      </c>
      <c r="H11" s="14">
        <f t="shared" si="0"/>
        <v>70</v>
      </c>
      <c r="I11" s="5" t="str">
        <f t="shared" si="1"/>
        <v>B</v>
      </c>
      <c r="J11" s="5" t="str">
        <f t="shared" si="2"/>
        <v>less 80</v>
      </c>
    </row>
    <row r="12" spans="1:10" x14ac:dyDescent="0.25">
      <c r="A12" s="4">
        <v>1011</v>
      </c>
      <c r="B12" s="5" t="s">
        <v>15</v>
      </c>
      <c r="C12" s="5">
        <v>73</v>
      </c>
      <c r="D12" s="5">
        <v>79</v>
      </c>
      <c r="E12" s="5">
        <v>53</v>
      </c>
      <c r="F12" s="6">
        <v>44901</v>
      </c>
      <c r="G12" s="7">
        <f>SUM(Table1[[#This Row],[Math]],Table1[[#This Row],[Science]],Table1[[#This Row],[English]])</f>
        <v>205</v>
      </c>
      <c r="H12" s="14">
        <f t="shared" si="0"/>
        <v>68.333333333333329</v>
      </c>
      <c r="I12" s="5" t="str">
        <f t="shared" si="1"/>
        <v>B</v>
      </c>
      <c r="J12" s="5" t="str">
        <f t="shared" si="2"/>
        <v>less 80</v>
      </c>
    </row>
    <row r="13" spans="1:10" x14ac:dyDescent="0.25">
      <c r="A13" s="4">
        <v>1012</v>
      </c>
      <c r="B13" s="5" t="s">
        <v>16</v>
      </c>
      <c r="C13" s="5">
        <v>85</v>
      </c>
      <c r="D13" s="5">
        <v>89</v>
      </c>
      <c r="E13" s="5">
        <v>79</v>
      </c>
      <c r="F13" s="6">
        <v>45081</v>
      </c>
      <c r="G13" s="7">
        <f>SUM(Table1[[#This Row],[Math]],Table1[[#This Row],[Science]],Table1[[#This Row],[English]])</f>
        <v>253</v>
      </c>
      <c r="H13" s="14">
        <f t="shared" si="0"/>
        <v>84.333333333333343</v>
      </c>
      <c r="I13" s="5" t="str">
        <f t="shared" si="1"/>
        <v>B</v>
      </c>
      <c r="J13" s="5" t="str">
        <f t="shared" si="2"/>
        <v>Greater 80</v>
      </c>
    </row>
    <row r="14" spans="1:10" x14ac:dyDescent="0.25">
      <c r="A14" s="4">
        <v>1013</v>
      </c>
      <c r="B14" s="5" t="s">
        <v>17</v>
      </c>
      <c r="C14" s="5">
        <v>98</v>
      </c>
      <c r="D14" s="5">
        <v>90</v>
      </c>
      <c r="E14" s="5">
        <v>97</v>
      </c>
      <c r="F14" s="6">
        <v>45261</v>
      </c>
      <c r="G14" s="7">
        <f>SUM(Table1[[#This Row],[Math]],Table1[[#This Row],[Science]],Table1[[#This Row],[English]])</f>
        <v>285</v>
      </c>
      <c r="H14" s="14">
        <f t="shared" si="0"/>
        <v>95</v>
      </c>
      <c r="I14" s="5" t="str">
        <f t="shared" si="1"/>
        <v>A</v>
      </c>
      <c r="J14" s="5" t="str">
        <f>IF(AND(C14&gt;80, D14&gt;80),"Greater 80","less 80")</f>
        <v>Greater 80</v>
      </c>
    </row>
    <row r="15" spans="1:10" x14ac:dyDescent="0.25">
      <c r="A15" s="4">
        <v>1014</v>
      </c>
      <c r="B15" s="5" t="s">
        <v>18</v>
      </c>
      <c r="C15" s="5">
        <v>93</v>
      </c>
      <c r="D15" s="5">
        <v>40</v>
      </c>
      <c r="E15" s="5">
        <v>44</v>
      </c>
      <c r="F15" s="6">
        <v>45441</v>
      </c>
      <c r="G15" s="7">
        <f>SUM(Table1[[#This Row],[Math]],Table1[[#This Row],[Science]],Table1[[#This Row],[English]])</f>
        <v>177</v>
      </c>
      <c r="H15" s="14">
        <f t="shared" si="0"/>
        <v>59</v>
      </c>
      <c r="I15" s="5" t="str">
        <f t="shared" si="1"/>
        <v>C</v>
      </c>
      <c r="J15" s="5" t="str">
        <f t="shared" si="2"/>
        <v>less 80</v>
      </c>
    </row>
    <row r="16" spans="1:10" x14ac:dyDescent="0.25">
      <c r="A16" s="4">
        <v>1015</v>
      </c>
      <c r="B16" s="5" t="s">
        <v>19</v>
      </c>
      <c r="C16" s="5">
        <v>70</v>
      </c>
      <c r="D16" s="5">
        <v>51</v>
      </c>
      <c r="E16" s="5">
        <v>75</v>
      </c>
      <c r="F16" s="6">
        <v>45621</v>
      </c>
      <c r="G16" s="7">
        <f>SUM(Table1[[#This Row],[Math]],Table1[[#This Row],[Science]],Table1[[#This Row],[English]])</f>
        <v>196</v>
      </c>
      <c r="H16" s="14">
        <f t="shared" si="0"/>
        <v>65.333333333333329</v>
      </c>
      <c r="I16" s="5" t="str">
        <f t="shared" si="1"/>
        <v>B</v>
      </c>
      <c r="J16" s="5" t="str">
        <f t="shared" si="2"/>
        <v>less 80</v>
      </c>
    </row>
    <row r="17" spans="1:10" x14ac:dyDescent="0.25">
      <c r="A17" s="4">
        <v>1016</v>
      </c>
      <c r="B17" s="5" t="s">
        <v>20</v>
      </c>
      <c r="C17" s="5">
        <v>98</v>
      </c>
      <c r="D17" s="5">
        <v>77</v>
      </c>
      <c r="E17" s="5">
        <v>60</v>
      </c>
      <c r="F17" s="6">
        <v>45801</v>
      </c>
      <c r="G17" s="7">
        <f>SUM(Table1[[#This Row],[Math]],Table1[[#This Row],[Science]],Table1[[#This Row],[English]])</f>
        <v>235</v>
      </c>
      <c r="H17" s="14">
        <f t="shared" si="0"/>
        <v>78.333333333333329</v>
      </c>
      <c r="I17" s="5" t="str">
        <f t="shared" si="1"/>
        <v>B</v>
      </c>
      <c r="J17" s="5" t="str">
        <f t="shared" si="2"/>
        <v>less 80</v>
      </c>
    </row>
    <row r="18" spans="1:10" x14ac:dyDescent="0.25">
      <c r="A18" s="4">
        <v>1017</v>
      </c>
      <c r="B18" s="5" t="s">
        <v>21</v>
      </c>
      <c r="C18" s="5">
        <v>66</v>
      </c>
      <c r="D18" s="5">
        <v>59</v>
      </c>
      <c r="E18" s="5">
        <v>40</v>
      </c>
      <c r="F18" s="6">
        <v>45981</v>
      </c>
      <c r="G18" s="7">
        <f>SUM(Table1[[#This Row],[Math]],Table1[[#This Row],[Science]],Table1[[#This Row],[English]])</f>
        <v>165</v>
      </c>
      <c r="H18" s="14">
        <f t="shared" si="0"/>
        <v>55.000000000000007</v>
      </c>
      <c r="I18" s="5" t="str">
        <f t="shared" si="1"/>
        <v>C</v>
      </c>
      <c r="J18" s="5" t="str">
        <f t="shared" si="2"/>
        <v>less 80</v>
      </c>
    </row>
    <row r="19" spans="1:10" x14ac:dyDescent="0.25">
      <c r="A19" s="4">
        <v>1018</v>
      </c>
      <c r="B19" s="5" t="s">
        <v>22</v>
      </c>
      <c r="C19" s="5">
        <v>82</v>
      </c>
      <c r="D19" s="5">
        <v>48</v>
      </c>
      <c r="E19" s="5">
        <v>79</v>
      </c>
      <c r="F19" s="6">
        <v>46161</v>
      </c>
      <c r="G19" s="7">
        <f>SUM(Table1[[#This Row],[Math]],Table1[[#This Row],[Science]],Table1[[#This Row],[English]])</f>
        <v>209</v>
      </c>
      <c r="H19" s="14">
        <f t="shared" si="0"/>
        <v>69.666666666666671</v>
      </c>
      <c r="I19" s="5" t="str">
        <f t="shared" si="1"/>
        <v>B</v>
      </c>
      <c r="J19" s="5" t="str">
        <f t="shared" si="2"/>
        <v>less 80</v>
      </c>
    </row>
    <row r="20" spans="1:10" x14ac:dyDescent="0.25">
      <c r="A20" s="4">
        <v>1019</v>
      </c>
      <c r="B20" s="5" t="s">
        <v>23</v>
      </c>
      <c r="C20" s="9">
        <v>90</v>
      </c>
      <c r="D20" s="9">
        <v>78</v>
      </c>
      <c r="E20" s="9">
        <v>60</v>
      </c>
      <c r="F20" s="10">
        <v>46341</v>
      </c>
      <c r="G20" s="11">
        <f>SUM(Table1[[#This Row],[Math]],Table1[[#This Row],[Science]],Table1[[#This Row],[English]])</f>
        <v>228</v>
      </c>
      <c r="H20" s="15">
        <f t="shared" si="0"/>
        <v>76</v>
      </c>
      <c r="I20" s="9" t="str">
        <f t="shared" si="1"/>
        <v>B</v>
      </c>
      <c r="J20" s="5" t="str">
        <f t="shared" si="2"/>
        <v>less 80</v>
      </c>
    </row>
    <row r="21" spans="1:10" x14ac:dyDescent="0.25">
      <c r="A21" s="8">
        <v>1020</v>
      </c>
      <c r="B21" s="9" t="s">
        <v>24</v>
      </c>
      <c r="C21" s="9">
        <v>83</v>
      </c>
      <c r="D21" s="9">
        <v>92</v>
      </c>
      <c r="E21" s="9">
        <v>55</v>
      </c>
      <c r="F21" s="10">
        <v>46521</v>
      </c>
      <c r="G21" s="9">
        <f>SUM(Table1[[#This Row],[Math]],Table1[[#This Row],[Science]],Table1[[#This Row],[English]])</f>
        <v>230</v>
      </c>
      <c r="H21" s="15">
        <f t="shared" si="0"/>
        <v>76.666666666666671</v>
      </c>
      <c r="I21" s="9" t="str">
        <f t="shared" si="1"/>
        <v>B</v>
      </c>
      <c r="J21" s="9" t="str">
        <f t="shared" si="2"/>
        <v>Greater 80</v>
      </c>
    </row>
    <row r="22" spans="1:10" x14ac:dyDescent="0.25">
      <c r="A22" s="24"/>
      <c r="B22" s="24"/>
      <c r="C22" s="24"/>
      <c r="D22" s="24"/>
      <c r="E22" s="24"/>
      <c r="F22" s="25"/>
      <c r="G22" s="26"/>
      <c r="H22" s="26"/>
      <c r="I22" s="26"/>
      <c r="J22" s="24"/>
    </row>
    <row r="23" spans="1:10" x14ac:dyDescent="0.25">
      <c r="A23" s="21"/>
      <c r="B23" s="21"/>
      <c r="C23" s="21"/>
      <c r="D23" s="21"/>
      <c r="E23" s="21"/>
      <c r="F23" s="22"/>
      <c r="G23" s="23"/>
      <c r="H23" s="23"/>
      <c r="I23" s="23"/>
      <c r="J23" s="21"/>
    </row>
    <row r="24" spans="1:10" x14ac:dyDescent="0.25">
      <c r="A24" s="27" t="s">
        <v>94</v>
      </c>
      <c r="B24" s="18">
        <f>COUNTIFS(C2:C21,"&gt;50")</f>
        <v>19</v>
      </c>
    </row>
    <row r="25" spans="1:10" x14ac:dyDescent="0.25">
      <c r="A25" s="27" t="s">
        <v>96</v>
      </c>
      <c r="B25" s="18">
        <f>AVERAGEIFS(G2:G21,C2:C21,"&gt;60",D2:D21,"&gt;60",E2:E21,"&gt;60")</f>
        <v>238</v>
      </c>
    </row>
    <row r="26" spans="1:10" x14ac:dyDescent="0.25">
      <c r="A26" s="27" t="s">
        <v>97</v>
      </c>
      <c r="B26" s="18" t="str">
        <f>VLOOKUP(1001,A2:J21,2,FALSE)</f>
        <v>Student 1</v>
      </c>
    </row>
    <row r="27" spans="1:10" x14ac:dyDescent="0.25">
      <c r="A27" s="27" t="s">
        <v>104</v>
      </c>
      <c r="B27" s="18" t="str">
        <f>LEFT(B2,4)</f>
        <v>Stud</v>
      </c>
      <c r="C27" t="e">
        <f>LEFT(A2,4)*FIND(" ",A2)</f>
        <v>#VALUE!</v>
      </c>
    </row>
    <row r="28" spans="1:10" x14ac:dyDescent="0.25">
      <c r="A28" s="27" t="s">
        <v>105</v>
      </c>
      <c r="B28" s="18">
        <f>FIND("t",B2)</f>
        <v>2</v>
      </c>
    </row>
    <row r="29" spans="1:10" x14ac:dyDescent="0.25">
      <c r="A29" s="39" t="s">
        <v>102</v>
      </c>
      <c r="B29" s="18" t="str">
        <f>UPPER(B2)</f>
        <v>STUDENT 1</v>
      </c>
    </row>
    <row r="30" spans="1:10" x14ac:dyDescent="0.25">
      <c r="A30" s="39" t="s">
        <v>103</v>
      </c>
      <c r="B30" s="18" t="str">
        <f>LOWER(B2)</f>
        <v>student 1</v>
      </c>
    </row>
    <row r="31" spans="1:10" x14ac:dyDescent="0.25">
      <c r="A31" s="39" t="s">
        <v>114</v>
      </c>
      <c r="B31" s="18" t="s">
        <v>9</v>
      </c>
    </row>
    <row r="32" spans="1:10" x14ac:dyDescent="0.25">
      <c r="B32" s="18" t="s">
        <v>16</v>
      </c>
    </row>
    <row r="33" spans="2:2" x14ac:dyDescent="0.25">
      <c r="B33" s="18" t="s">
        <v>17</v>
      </c>
    </row>
    <row r="34" spans="2:2" x14ac:dyDescent="0.25">
      <c r="B34" s="18" t="s">
        <v>20</v>
      </c>
    </row>
    <row r="35" spans="2:2" x14ac:dyDescent="0.25">
      <c r="B35" s="18" t="s">
        <v>23</v>
      </c>
    </row>
    <row r="36" spans="2:2" x14ac:dyDescent="0.25">
      <c r="B36" s="18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5"/>
  <sheetViews>
    <sheetView topLeftCell="A16" zoomScaleNormal="100" zoomScalePageLayoutView="28" workbookViewId="0">
      <selection activeCell="G23" sqref="G23"/>
    </sheetView>
  </sheetViews>
  <sheetFormatPr defaultRowHeight="15" x14ac:dyDescent="0.25"/>
  <cols>
    <col min="1" max="1" width="9.140625" style="29"/>
    <col min="2" max="3" width="14" style="29" customWidth="1"/>
    <col min="4" max="4" width="15.42578125" style="29" bestFit="1" customWidth="1"/>
    <col min="5" max="5" width="13.42578125" style="29" bestFit="1" customWidth="1"/>
    <col min="6" max="6" width="17.85546875" style="29" bestFit="1" customWidth="1"/>
    <col min="7" max="7" width="14.5703125" style="29" bestFit="1" customWidth="1"/>
    <col min="8" max="8" width="16.5703125" style="29" bestFit="1" customWidth="1"/>
    <col min="9" max="9" width="13.28515625" style="29" bestFit="1" customWidth="1"/>
    <col min="10" max="10" width="15.42578125" style="29" bestFit="1" customWidth="1"/>
    <col min="11" max="11" width="14.42578125" style="29" bestFit="1" customWidth="1"/>
    <col min="12" max="16384" width="9.140625" style="29"/>
  </cols>
  <sheetData>
    <row r="2" spans="2:11" x14ac:dyDescent="0.25">
      <c r="B2" s="1" t="s">
        <v>26</v>
      </c>
      <c r="C2" s="1" t="s">
        <v>99</v>
      </c>
      <c r="D2" s="2" t="s">
        <v>27</v>
      </c>
      <c r="E2" s="2" t="s">
        <v>28</v>
      </c>
      <c r="F2" s="2" t="s">
        <v>29</v>
      </c>
      <c r="G2" s="31" t="s">
        <v>30</v>
      </c>
      <c r="H2" s="2" t="s">
        <v>31</v>
      </c>
      <c r="I2" s="2" t="s">
        <v>92</v>
      </c>
      <c r="J2" s="3" t="s">
        <v>93</v>
      </c>
      <c r="K2" s="17" t="s">
        <v>100</v>
      </c>
    </row>
    <row r="3" spans="2:11" ht="18" customHeight="1" x14ac:dyDescent="0.25">
      <c r="B3" s="4">
        <v>2001</v>
      </c>
      <c r="C3" s="5">
        <v>1</v>
      </c>
      <c r="D3" s="5" t="s">
        <v>32</v>
      </c>
      <c r="E3" s="5" t="s">
        <v>33</v>
      </c>
      <c r="F3" s="5" t="s">
        <v>34</v>
      </c>
      <c r="G3" s="19">
        <v>7048</v>
      </c>
      <c r="H3" s="6">
        <v>44927</v>
      </c>
      <c r="I3" s="5" t="str">
        <f t="shared" ref="I3:I22" si="0">IF(G3&gt;30000,"5%",IF(G3&gt;20000,"3%","1%"))</f>
        <v>1%</v>
      </c>
      <c r="J3" s="7" t="str">
        <f t="shared" ref="J3:J22" si="1">IF(OR(G3=0,G3&lt;7500),"NOT ELIGIBLE","ELIGIBLE")</f>
        <v>NOT ELIGIBLE</v>
      </c>
      <c r="K3" s="5"/>
    </row>
    <row r="4" spans="2:11" x14ac:dyDescent="0.25">
      <c r="B4" s="4">
        <v>2002</v>
      </c>
      <c r="C4" s="5">
        <v>2</v>
      </c>
      <c r="D4" s="5" t="s">
        <v>35</v>
      </c>
      <c r="E4" s="5" t="s">
        <v>36</v>
      </c>
      <c r="F4" s="5" t="s">
        <v>37</v>
      </c>
      <c r="G4" s="19">
        <v>17428</v>
      </c>
      <c r="H4" s="6">
        <v>44942</v>
      </c>
      <c r="I4" s="5" t="str">
        <f t="shared" si="0"/>
        <v>1%</v>
      </c>
      <c r="J4" s="7" t="str">
        <f t="shared" si="1"/>
        <v>ELIGIBLE</v>
      </c>
      <c r="K4" s="5"/>
    </row>
    <row r="5" spans="2:11" x14ac:dyDescent="0.25">
      <c r="B5" s="4">
        <v>2003</v>
      </c>
      <c r="C5" s="5">
        <v>3</v>
      </c>
      <c r="D5" s="5" t="s">
        <v>38</v>
      </c>
      <c r="E5" s="5" t="s">
        <v>33</v>
      </c>
      <c r="F5" s="5" t="s">
        <v>39</v>
      </c>
      <c r="G5" s="19">
        <v>23672</v>
      </c>
      <c r="H5" s="6">
        <v>44957</v>
      </c>
      <c r="I5" s="5" t="str">
        <f t="shared" si="0"/>
        <v>3%</v>
      </c>
      <c r="J5" s="7" t="str">
        <f t="shared" si="1"/>
        <v>ELIGIBLE</v>
      </c>
      <c r="K5" s="5"/>
    </row>
    <row r="6" spans="2:11" x14ac:dyDescent="0.25">
      <c r="B6" s="4">
        <v>2004</v>
      </c>
      <c r="C6" s="5">
        <v>4</v>
      </c>
      <c r="D6" s="5" t="s">
        <v>35</v>
      </c>
      <c r="E6" s="5" t="s">
        <v>40</v>
      </c>
      <c r="F6" s="5" t="s">
        <v>41</v>
      </c>
      <c r="G6" s="19">
        <v>5264</v>
      </c>
      <c r="H6" s="6">
        <v>44972</v>
      </c>
      <c r="I6" s="5" t="str">
        <f t="shared" si="0"/>
        <v>1%</v>
      </c>
      <c r="J6" s="7" t="str">
        <f t="shared" si="1"/>
        <v>NOT ELIGIBLE</v>
      </c>
      <c r="K6" s="5"/>
    </row>
    <row r="7" spans="2:11" ht="14.25" customHeight="1" x14ac:dyDescent="0.25">
      <c r="B7" s="4">
        <v>2005</v>
      </c>
      <c r="C7" s="5">
        <v>5</v>
      </c>
      <c r="D7" s="5" t="s">
        <v>32</v>
      </c>
      <c r="E7" s="5" t="s">
        <v>42</v>
      </c>
      <c r="F7" s="5" t="s">
        <v>43</v>
      </c>
      <c r="G7" s="19">
        <v>43388</v>
      </c>
      <c r="H7" s="6">
        <v>44987</v>
      </c>
      <c r="I7" s="5" t="str">
        <f t="shared" si="0"/>
        <v>5%</v>
      </c>
      <c r="J7" s="7" t="str">
        <f t="shared" si="1"/>
        <v>ELIGIBLE</v>
      </c>
      <c r="K7" s="5"/>
    </row>
    <row r="8" spans="2:11" x14ac:dyDescent="0.25">
      <c r="B8" s="4">
        <v>2006</v>
      </c>
      <c r="C8" s="5">
        <v>6</v>
      </c>
      <c r="D8" s="5" t="s">
        <v>38</v>
      </c>
      <c r="E8" s="5" t="s">
        <v>42</v>
      </c>
      <c r="F8" s="5" t="s">
        <v>44</v>
      </c>
      <c r="G8" s="19">
        <v>19757</v>
      </c>
      <c r="H8" s="6">
        <v>45002</v>
      </c>
      <c r="I8" s="5" t="str">
        <f t="shared" si="0"/>
        <v>1%</v>
      </c>
      <c r="J8" s="7" t="str">
        <f t="shared" si="1"/>
        <v>ELIGIBLE</v>
      </c>
      <c r="K8" s="5"/>
    </row>
    <row r="9" spans="2:11" x14ac:dyDescent="0.25">
      <c r="B9" s="4">
        <v>2007</v>
      </c>
      <c r="C9" s="5">
        <v>7</v>
      </c>
      <c r="D9" s="5" t="s">
        <v>38</v>
      </c>
      <c r="E9" s="5" t="s">
        <v>40</v>
      </c>
      <c r="F9" s="5" t="s">
        <v>45</v>
      </c>
      <c r="G9" s="19">
        <v>32058</v>
      </c>
      <c r="H9" s="6">
        <v>45017</v>
      </c>
      <c r="I9" s="5" t="str">
        <f t="shared" si="0"/>
        <v>5%</v>
      </c>
      <c r="J9" s="7" t="str">
        <f t="shared" si="1"/>
        <v>ELIGIBLE</v>
      </c>
      <c r="K9" s="5"/>
    </row>
    <row r="10" spans="2:11" ht="16.5" customHeight="1" x14ac:dyDescent="0.25">
      <c r="B10" s="4">
        <v>2008</v>
      </c>
      <c r="C10" s="5">
        <v>8</v>
      </c>
      <c r="D10" s="5" t="s">
        <v>32</v>
      </c>
      <c r="E10" s="5" t="s">
        <v>40</v>
      </c>
      <c r="F10" s="5" t="s">
        <v>46</v>
      </c>
      <c r="G10" s="19">
        <v>46429</v>
      </c>
      <c r="H10" s="6">
        <v>45032</v>
      </c>
      <c r="I10" s="5" t="str">
        <f t="shared" si="0"/>
        <v>5%</v>
      </c>
      <c r="J10" s="7" t="str">
        <f t="shared" si="1"/>
        <v>ELIGIBLE</v>
      </c>
      <c r="K10" s="5"/>
    </row>
    <row r="11" spans="2:11" x14ac:dyDescent="0.25">
      <c r="B11" s="4">
        <v>2009</v>
      </c>
      <c r="C11" s="5">
        <v>9</v>
      </c>
      <c r="D11" s="5" t="s">
        <v>35</v>
      </c>
      <c r="E11" s="5" t="s">
        <v>40</v>
      </c>
      <c r="F11" s="5" t="s">
        <v>47</v>
      </c>
      <c r="G11" s="19">
        <v>19746</v>
      </c>
      <c r="H11" s="6">
        <v>45047</v>
      </c>
      <c r="I11" s="5" t="str">
        <f t="shared" si="0"/>
        <v>1%</v>
      </c>
      <c r="J11" s="7" t="str">
        <f t="shared" si="1"/>
        <v>ELIGIBLE</v>
      </c>
      <c r="K11" s="5"/>
    </row>
    <row r="12" spans="2:11" ht="17.25" customHeight="1" x14ac:dyDescent="0.25">
      <c r="B12" s="4">
        <v>2010</v>
      </c>
      <c r="C12" s="5">
        <v>10</v>
      </c>
      <c r="D12" s="5" t="s">
        <v>32</v>
      </c>
      <c r="E12" s="5" t="s">
        <v>33</v>
      </c>
      <c r="F12" s="5" t="s">
        <v>48</v>
      </c>
      <c r="G12" s="19">
        <v>35185</v>
      </c>
      <c r="H12" s="6">
        <v>45062</v>
      </c>
      <c r="I12" s="5" t="str">
        <f t="shared" si="0"/>
        <v>5%</v>
      </c>
      <c r="J12" s="7" t="str">
        <f t="shared" si="1"/>
        <v>ELIGIBLE</v>
      </c>
      <c r="K12" s="5"/>
    </row>
    <row r="13" spans="2:11" ht="17.25" customHeight="1" x14ac:dyDescent="0.25">
      <c r="B13" s="4">
        <v>2011</v>
      </c>
      <c r="C13" s="5">
        <v>11</v>
      </c>
      <c r="D13" s="5" t="s">
        <v>32</v>
      </c>
      <c r="E13" s="5" t="s">
        <v>40</v>
      </c>
      <c r="F13" s="5" t="s">
        <v>49</v>
      </c>
      <c r="G13" s="19">
        <v>33920</v>
      </c>
      <c r="H13" s="6">
        <v>45077</v>
      </c>
      <c r="I13" s="5" t="str">
        <f t="shared" si="0"/>
        <v>5%</v>
      </c>
      <c r="J13" s="7" t="str">
        <f t="shared" si="1"/>
        <v>ELIGIBLE</v>
      </c>
      <c r="K13" s="5"/>
    </row>
    <row r="14" spans="2:11" ht="17.25" customHeight="1" x14ac:dyDescent="0.25">
      <c r="B14" s="4">
        <v>2012</v>
      </c>
      <c r="C14" s="5">
        <v>12</v>
      </c>
      <c r="D14" s="5" t="s">
        <v>50</v>
      </c>
      <c r="E14" s="5" t="s">
        <v>42</v>
      </c>
      <c r="F14" s="5" t="s">
        <v>51</v>
      </c>
      <c r="G14" s="19">
        <v>35611</v>
      </c>
      <c r="H14" s="6">
        <v>45092</v>
      </c>
      <c r="I14" s="5" t="str">
        <f t="shared" si="0"/>
        <v>5%</v>
      </c>
      <c r="J14" s="7" t="str">
        <f t="shared" si="1"/>
        <v>ELIGIBLE</v>
      </c>
      <c r="K14" s="5"/>
    </row>
    <row r="15" spans="2:11" ht="17.25" customHeight="1" x14ac:dyDescent="0.25">
      <c r="B15" s="4">
        <v>2013</v>
      </c>
      <c r="C15" s="5">
        <v>13</v>
      </c>
      <c r="D15" s="5" t="s">
        <v>52</v>
      </c>
      <c r="E15" s="5" t="s">
        <v>40</v>
      </c>
      <c r="F15" s="5" t="s">
        <v>53</v>
      </c>
      <c r="G15" s="19">
        <v>15560</v>
      </c>
      <c r="H15" s="6">
        <v>45107</v>
      </c>
      <c r="I15" s="5" t="str">
        <f t="shared" si="0"/>
        <v>1%</v>
      </c>
      <c r="J15" s="7" t="str">
        <f t="shared" si="1"/>
        <v>ELIGIBLE</v>
      </c>
      <c r="K15" s="5"/>
    </row>
    <row r="16" spans="2:11" ht="15" customHeight="1" x14ac:dyDescent="0.25">
      <c r="B16" s="4">
        <v>2014</v>
      </c>
      <c r="C16" s="5">
        <v>14</v>
      </c>
      <c r="D16" s="5" t="s">
        <v>52</v>
      </c>
      <c r="E16" s="5" t="s">
        <v>33</v>
      </c>
      <c r="F16" s="5" t="s">
        <v>54</v>
      </c>
      <c r="G16" s="19">
        <v>7283</v>
      </c>
      <c r="H16" s="6">
        <v>45122</v>
      </c>
      <c r="I16" s="5" t="str">
        <f t="shared" si="0"/>
        <v>1%</v>
      </c>
      <c r="J16" s="7" t="str">
        <f t="shared" si="1"/>
        <v>NOT ELIGIBLE</v>
      </c>
      <c r="K16" s="5"/>
    </row>
    <row r="17" spans="2:11" ht="15" customHeight="1" x14ac:dyDescent="0.25">
      <c r="B17" s="4">
        <v>2015</v>
      </c>
      <c r="C17" s="5">
        <v>15</v>
      </c>
      <c r="D17" s="5" t="s">
        <v>52</v>
      </c>
      <c r="E17" s="5" t="s">
        <v>40</v>
      </c>
      <c r="F17" s="5" t="s">
        <v>55</v>
      </c>
      <c r="G17" s="19">
        <v>15678</v>
      </c>
      <c r="H17" s="6">
        <v>45137</v>
      </c>
      <c r="I17" s="5" t="str">
        <f t="shared" si="0"/>
        <v>1%</v>
      </c>
      <c r="J17" s="7" t="str">
        <f t="shared" si="1"/>
        <v>ELIGIBLE</v>
      </c>
      <c r="K17" s="5"/>
    </row>
    <row r="18" spans="2:11" ht="13.5" customHeight="1" x14ac:dyDescent="0.25">
      <c r="B18" s="4">
        <v>2016</v>
      </c>
      <c r="C18" s="5">
        <v>16</v>
      </c>
      <c r="D18" s="5" t="s">
        <v>38</v>
      </c>
      <c r="E18" s="5" t="s">
        <v>40</v>
      </c>
      <c r="F18" s="5" t="s">
        <v>56</v>
      </c>
      <c r="G18" s="19">
        <v>5277</v>
      </c>
      <c r="H18" s="6">
        <v>45152</v>
      </c>
      <c r="I18" s="5" t="str">
        <f t="shared" si="0"/>
        <v>1%</v>
      </c>
      <c r="J18" s="7" t="str">
        <f t="shared" si="1"/>
        <v>NOT ELIGIBLE</v>
      </c>
      <c r="K18" s="5"/>
    </row>
    <row r="19" spans="2:11" ht="15.75" customHeight="1" x14ac:dyDescent="0.25">
      <c r="B19" s="4">
        <v>2017</v>
      </c>
      <c r="C19" s="5">
        <v>17</v>
      </c>
      <c r="D19" s="5" t="s">
        <v>50</v>
      </c>
      <c r="E19" s="5" t="s">
        <v>42</v>
      </c>
      <c r="F19" s="5" t="s">
        <v>57</v>
      </c>
      <c r="G19" s="19">
        <v>41871</v>
      </c>
      <c r="H19" s="6">
        <v>45167</v>
      </c>
      <c r="I19" s="5" t="str">
        <f t="shared" si="0"/>
        <v>5%</v>
      </c>
      <c r="J19" s="7" t="str">
        <f t="shared" si="1"/>
        <v>ELIGIBLE</v>
      </c>
      <c r="K19" s="5"/>
    </row>
    <row r="20" spans="2:11" ht="14.25" customHeight="1" x14ac:dyDescent="0.25">
      <c r="B20" s="4">
        <v>2018</v>
      </c>
      <c r="C20" s="5">
        <v>18</v>
      </c>
      <c r="D20" s="5" t="s">
        <v>50</v>
      </c>
      <c r="E20" s="5" t="s">
        <v>36</v>
      </c>
      <c r="F20" s="5" t="s">
        <v>58</v>
      </c>
      <c r="G20" s="19">
        <v>38161</v>
      </c>
      <c r="H20" s="6">
        <v>45182</v>
      </c>
      <c r="I20" s="5" t="str">
        <f t="shared" si="0"/>
        <v>5%</v>
      </c>
      <c r="J20" s="7" t="str">
        <f t="shared" si="1"/>
        <v>ELIGIBLE</v>
      </c>
      <c r="K20" s="5"/>
    </row>
    <row r="21" spans="2:11" ht="14.25" customHeight="1" x14ac:dyDescent="0.25">
      <c r="B21" s="4">
        <v>2019</v>
      </c>
      <c r="C21" s="5">
        <v>19</v>
      </c>
      <c r="D21" s="5" t="s">
        <v>38</v>
      </c>
      <c r="E21" s="5" t="s">
        <v>36</v>
      </c>
      <c r="F21" s="5" t="s">
        <v>59</v>
      </c>
      <c r="G21" s="19">
        <v>30436</v>
      </c>
      <c r="H21" s="6">
        <v>45197</v>
      </c>
      <c r="I21" s="5" t="str">
        <f t="shared" si="0"/>
        <v>5%</v>
      </c>
      <c r="J21" s="7" t="str">
        <f t="shared" si="1"/>
        <v>ELIGIBLE</v>
      </c>
      <c r="K21" s="5"/>
    </row>
    <row r="22" spans="2:11" ht="15" customHeight="1" x14ac:dyDescent="0.25">
      <c r="B22" s="8">
        <v>2020</v>
      </c>
      <c r="C22" s="5">
        <v>20</v>
      </c>
      <c r="D22" s="9" t="s">
        <v>35</v>
      </c>
      <c r="E22" s="9" t="s">
        <v>36</v>
      </c>
      <c r="F22" s="9" t="s">
        <v>60</v>
      </c>
      <c r="G22" s="32">
        <v>33953</v>
      </c>
      <c r="H22" s="10">
        <v>45212</v>
      </c>
      <c r="I22" s="9" t="str">
        <f t="shared" si="0"/>
        <v>5%</v>
      </c>
      <c r="J22" s="11" t="str">
        <f t="shared" si="1"/>
        <v>ELIGIBLE</v>
      </c>
      <c r="K22" s="5"/>
    </row>
    <row r="23" spans="2:11" x14ac:dyDescent="0.25">
      <c r="B23" s="30"/>
      <c r="C23" s="30"/>
      <c r="D23" s="30"/>
      <c r="E23" s="30"/>
      <c r="F23" s="30"/>
      <c r="G23" s="30"/>
      <c r="H23" s="30"/>
    </row>
    <row r="24" spans="2:11" x14ac:dyDescent="0.25">
      <c r="B24" s="30"/>
      <c r="C24" s="30"/>
      <c r="D24" s="27" t="s">
        <v>95</v>
      </c>
      <c r="E24" s="20">
        <f>SUMIFS(G3:G22,D3:D22,"keyboard", E3:E22,"South")</f>
        <v>42233</v>
      </c>
      <c r="F24" s="30"/>
      <c r="G24" s="30"/>
      <c r="H24" s="30"/>
    </row>
    <row r="25" spans="2:11" x14ac:dyDescent="0.25">
      <c r="B25" s="30"/>
      <c r="C25" s="30"/>
      <c r="D25" s="28" t="s">
        <v>97</v>
      </c>
      <c r="E25" s="20">
        <f>VLOOKUP(12,C3:J22,5,FALSE)</f>
        <v>35611</v>
      </c>
      <c r="F25" s="30"/>
      <c r="G25" s="30"/>
      <c r="H25" s="30"/>
    </row>
    <row r="26" spans="2:11" ht="30" x14ac:dyDescent="0.25">
      <c r="B26" s="30"/>
      <c r="C26" s="30"/>
      <c r="D26" s="28" t="s">
        <v>98</v>
      </c>
      <c r="E26" s="20" t="e">
        <f>INDEX(B3:G22, MATCH(0,(E3:E22="Person 10")*MONTH(H3:H22)=5),0)</f>
        <v>#VALUE!</v>
      </c>
      <c r="F26" s="20">
        <v>35185</v>
      </c>
      <c r="G26" s="30"/>
      <c r="H26" s="30"/>
    </row>
    <row r="27" spans="2:11" x14ac:dyDescent="0.25">
      <c r="B27" s="30"/>
      <c r="C27" s="30"/>
      <c r="D27" s="28" t="s">
        <v>106</v>
      </c>
      <c r="E27" s="20" t="e">
        <f ca="1">XLOOKUP("Person 10",F3:F22,G3:G22)</f>
        <v>#NAME?</v>
      </c>
      <c r="F27" s="20" t="s">
        <v>46</v>
      </c>
      <c r="G27" s="30"/>
      <c r="H27" s="30"/>
    </row>
    <row r="28" spans="2:11" x14ac:dyDescent="0.25">
      <c r="B28" s="30"/>
      <c r="C28" s="30"/>
      <c r="D28" s="28" t="s">
        <v>108</v>
      </c>
      <c r="E28" s="20" t="e">
        <f ca="1">XMATCH("Mouse",D3:D22)</f>
        <v>#NAME?</v>
      </c>
      <c r="F28" s="20">
        <v>2</v>
      </c>
      <c r="G28" s="30"/>
      <c r="H28" s="30"/>
    </row>
    <row r="29" spans="2:11" x14ac:dyDescent="0.25">
      <c r="B29" s="30"/>
      <c r="C29" s="30"/>
      <c r="D29" s="30"/>
      <c r="E29" s="30"/>
      <c r="F29" s="30"/>
      <c r="G29" s="30"/>
      <c r="H29" s="30"/>
    </row>
    <row r="30" spans="2:11" x14ac:dyDescent="0.25">
      <c r="B30" s="30"/>
      <c r="C30" s="30"/>
      <c r="D30" s="30"/>
      <c r="E30" s="30"/>
      <c r="F30" s="30"/>
      <c r="G30" s="30"/>
      <c r="H30" s="30"/>
    </row>
    <row r="31" spans="2:11" x14ac:dyDescent="0.25">
      <c r="B31" s="30"/>
      <c r="C31" s="30"/>
      <c r="D31" s="30"/>
      <c r="E31" s="30"/>
      <c r="F31" s="30"/>
      <c r="G31" s="30"/>
      <c r="H31" s="30"/>
    </row>
    <row r="32" spans="2:11" x14ac:dyDescent="0.25">
      <c r="B32" s="30"/>
      <c r="C32" s="30"/>
      <c r="D32" s="30"/>
      <c r="E32" s="30"/>
      <c r="F32" s="30"/>
      <c r="G32" s="30"/>
      <c r="H32" s="30"/>
    </row>
    <row r="33" spans="2:8" x14ac:dyDescent="0.25">
      <c r="B33" s="30"/>
      <c r="C33" s="30"/>
      <c r="D33" s="30"/>
      <c r="E33" s="30"/>
      <c r="F33" s="30"/>
      <c r="G33" s="30"/>
      <c r="H33" s="30"/>
    </row>
    <row r="34" spans="2:8" x14ac:dyDescent="0.25">
      <c r="B34" s="30"/>
      <c r="C34" s="30"/>
      <c r="D34" s="30"/>
      <c r="E34" s="30"/>
      <c r="F34" s="30"/>
      <c r="G34" s="30"/>
      <c r="H34" s="30"/>
    </row>
    <row r="35" spans="2:8" x14ac:dyDescent="0.25">
      <c r="B35" s="30"/>
      <c r="C35" s="30"/>
      <c r="D35" s="30"/>
      <c r="E35" s="30"/>
      <c r="F35" s="30"/>
      <c r="G35" s="30"/>
      <c r="H35" s="30"/>
    </row>
  </sheetData>
  <dataConsolidate>
    <dataRefs count="1">
      <dataRef ref="E2:E21" sheet="Sales Id"/>
    </dataRefs>
  </dataConsolidate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3" workbookViewId="0">
      <selection activeCell="H33" sqref="H33"/>
    </sheetView>
  </sheetViews>
  <sheetFormatPr defaultRowHeight="15" x14ac:dyDescent="0.25"/>
  <cols>
    <col min="1" max="1" width="14.28515625" style="29" customWidth="1"/>
    <col min="2" max="2" width="12.140625" style="29" customWidth="1"/>
    <col min="3" max="3" width="13.85546875" style="29" customWidth="1"/>
    <col min="4" max="4" width="11.140625" style="29" bestFit="1" customWidth="1"/>
    <col min="5" max="5" width="14.85546875" style="29" bestFit="1" customWidth="1"/>
    <col min="6" max="16384" width="9.140625" style="29"/>
  </cols>
  <sheetData>
    <row r="1" spans="1:5" x14ac:dyDescent="0.25">
      <c r="A1" s="33" t="s">
        <v>61</v>
      </c>
      <c r="B1" s="34" t="s">
        <v>0</v>
      </c>
      <c r="C1" s="34" t="s">
        <v>62</v>
      </c>
      <c r="D1" s="35" t="s">
        <v>63</v>
      </c>
      <c r="E1" s="36" t="s">
        <v>64</v>
      </c>
    </row>
    <row r="2" spans="1:5" x14ac:dyDescent="0.25">
      <c r="A2" s="4">
        <v>3001</v>
      </c>
      <c r="B2" s="5" t="s">
        <v>65</v>
      </c>
      <c r="C2" s="5" t="s">
        <v>66</v>
      </c>
      <c r="D2" s="19">
        <v>86766</v>
      </c>
      <c r="E2" s="37">
        <v>42005</v>
      </c>
    </row>
    <row r="3" spans="1:5" x14ac:dyDescent="0.25">
      <c r="A3" s="4">
        <v>3002</v>
      </c>
      <c r="B3" s="5" t="s">
        <v>67</v>
      </c>
      <c r="C3" s="5" t="s">
        <v>66</v>
      </c>
      <c r="D3" s="19">
        <v>31943</v>
      </c>
      <c r="E3" s="37">
        <v>42255</v>
      </c>
    </row>
    <row r="4" spans="1:5" x14ac:dyDescent="0.25">
      <c r="A4" s="4">
        <v>3003</v>
      </c>
      <c r="B4" s="5" t="s">
        <v>68</v>
      </c>
      <c r="C4" s="5" t="s">
        <v>69</v>
      </c>
      <c r="D4" s="19">
        <v>63374</v>
      </c>
      <c r="E4" s="37">
        <v>42505</v>
      </c>
    </row>
    <row r="5" spans="1:5" x14ac:dyDescent="0.25">
      <c r="A5" s="4">
        <v>3004</v>
      </c>
      <c r="B5" s="5" t="s">
        <v>70</v>
      </c>
      <c r="C5" s="5" t="s">
        <v>66</v>
      </c>
      <c r="D5" s="19">
        <v>109972</v>
      </c>
      <c r="E5" s="37">
        <v>42755</v>
      </c>
    </row>
    <row r="6" spans="1:5" x14ac:dyDescent="0.25">
      <c r="A6" s="4">
        <v>3005</v>
      </c>
      <c r="B6" s="5" t="s">
        <v>71</v>
      </c>
      <c r="C6" s="5" t="s">
        <v>72</v>
      </c>
      <c r="D6" s="19">
        <v>54149</v>
      </c>
      <c r="E6" s="37">
        <v>43005</v>
      </c>
    </row>
    <row r="7" spans="1:5" x14ac:dyDescent="0.25">
      <c r="A7" s="4">
        <v>3006</v>
      </c>
      <c r="B7" s="5" t="s">
        <v>73</v>
      </c>
      <c r="C7" s="5" t="s">
        <v>72</v>
      </c>
      <c r="D7" s="19">
        <v>78689</v>
      </c>
      <c r="E7" s="37">
        <v>43255</v>
      </c>
    </row>
    <row r="8" spans="1:5" x14ac:dyDescent="0.25">
      <c r="A8" s="4">
        <v>3007</v>
      </c>
      <c r="B8" s="5" t="s">
        <v>74</v>
      </c>
      <c r="C8" s="5" t="s">
        <v>75</v>
      </c>
      <c r="D8" s="19">
        <v>35960</v>
      </c>
      <c r="E8" s="37">
        <v>43505</v>
      </c>
    </row>
    <row r="9" spans="1:5" x14ac:dyDescent="0.25">
      <c r="A9" s="4">
        <v>3008</v>
      </c>
      <c r="B9" s="5" t="s">
        <v>76</v>
      </c>
      <c r="C9" s="5" t="s">
        <v>72</v>
      </c>
      <c r="D9" s="19">
        <v>91659</v>
      </c>
      <c r="E9" s="37">
        <v>43755</v>
      </c>
    </row>
    <row r="10" spans="1:5" x14ac:dyDescent="0.25">
      <c r="A10" s="4">
        <v>3009</v>
      </c>
      <c r="B10" s="5" t="s">
        <v>77</v>
      </c>
      <c r="C10" s="5" t="s">
        <v>72</v>
      </c>
      <c r="D10" s="19">
        <v>90423</v>
      </c>
      <c r="E10" s="37">
        <v>44005</v>
      </c>
    </row>
    <row r="11" spans="1:5" ht="15.75" customHeight="1" x14ac:dyDescent="0.25">
      <c r="A11" s="4">
        <v>3010</v>
      </c>
      <c r="B11" s="5" t="s">
        <v>78</v>
      </c>
      <c r="C11" s="5" t="s">
        <v>69</v>
      </c>
      <c r="D11" s="19">
        <v>107877</v>
      </c>
      <c r="E11" s="37">
        <v>44255</v>
      </c>
    </row>
    <row r="12" spans="1:5" ht="14.25" customHeight="1" x14ac:dyDescent="0.25">
      <c r="A12" s="4">
        <v>3011</v>
      </c>
      <c r="B12" s="5" t="s">
        <v>79</v>
      </c>
      <c r="C12" s="5" t="s">
        <v>66</v>
      </c>
      <c r="D12" s="19">
        <v>107634</v>
      </c>
      <c r="E12" s="37">
        <v>44505</v>
      </c>
    </row>
    <row r="13" spans="1:5" ht="16.5" customHeight="1" x14ac:dyDescent="0.25">
      <c r="A13" s="4">
        <v>3012</v>
      </c>
      <c r="B13" s="5" t="s">
        <v>80</v>
      </c>
      <c r="C13" s="5" t="s">
        <v>66</v>
      </c>
      <c r="D13" s="19">
        <v>35226</v>
      </c>
      <c r="E13" s="37">
        <v>44755</v>
      </c>
    </row>
    <row r="14" spans="1:5" ht="16.5" customHeight="1" x14ac:dyDescent="0.25">
      <c r="A14" s="4">
        <v>3013</v>
      </c>
      <c r="B14" s="5" t="s">
        <v>81</v>
      </c>
      <c r="C14" s="5" t="s">
        <v>69</v>
      </c>
      <c r="D14" s="19">
        <v>40872</v>
      </c>
      <c r="E14" s="37">
        <v>45005</v>
      </c>
    </row>
    <row r="15" spans="1:5" ht="17.25" customHeight="1" x14ac:dyDescent="0.25">
      <c r="A15" s="4">
        <v>3014</v>
      </c>
      <c r="B15" s="5" t="s">
        <v>82</v>
      </c>
      <c r="C15" s="5" t="s">
        <v>69</v>
      </c>
      <c r="D15" s="19">
        <v>55378</v>
      </c>
      <c r="E15" s="37">
        <v>45255</v>
      </c>
    </row>
    <row r="16" spans="1:5" ht="16.5" customHeight="1" x14ac:dyDescent="0.25">
      <c r="A16" s="4">
        <v>3015</v>
      </c>
      <c r="B16" s="5" t="s">
        <v>83</v>
      </c>
      <c r="C16" s="5" t="s">
        <v>69</v>
      </c>
      <c r="D16" s="19">
        <v>63297</v>
      </c>
      <c r="E16" s="37">
        <v>45505</v>
      </c>
    </row>
    <row r="17" spans="1:5" ht="15" customHeight="1" x14ac:dyDescent="0.25">
      <c r="A17" s="4">
        <v>3016</v>
      </c>
      <c r="B17" s="5" t="s">
        <v>84</v>
      </c>
      <c r="C17" s="5" t="s">
        <v>66</v>
      </c>
      <c r="D17" s="19">
        <v>114173</v>
      </c>
      <c r="E17" s="37">
        <v>45755</v>
      </c>
    </row>
    <row r="18" spans="1:5" ht="15" customHeight="1" x14ac:dyDescent="0.25">
      <c r="A18" s="4">
        <v>3017</v>
      </c>
      <c r="B18" s="5" t="s">
        <v>85</v>
      </c>
      <c r="C18" s="5" t="s">
        <v>69</v>
      </c>
      <c r="D18" s="19">
        <v>86915</v>
      </c>
      <c r="E18" s="37">
        <v>46005</v>
      </c>
    </row>
    <row r="19" spans="1:5" ht="15.75" customHeight="1" x14ac:dyDescent="0.25">
      <c r="A19" s="4">
        <v>3018</v>
      </c>
      <c r="B19" s="5" t="s">
        <v>86</v>
      </c>
      <c r="C19" s="5" t="s">
        <v>72</v>
      </c>
      <c r="D19" s="19">
        <v>116284</v>
      </c>
      <c r="E19" s="37">
        <v>46255</v>
      </c>
    </row>
    <row r="20" spans="1:5" ht="16.5" customHeight="1" x14ac:dyDescent="0.25">
      <c r="A20" s="4">
        <v>3019</v>
      </c>
      <c r="B20" s="5" t="s">
        <v>87</v>
      </c>
      <c r="C20" s="5" t="s">
        <v>75</v>
      </c>
      <c r="D20" s="19">
        <v>116283</v>
      </c>
      <c r="E20" s="37">
        <v>46505</v>
      </c>
    </row>
    <row r="21" spans="1:5" ht="15.75" customHeight="1" x14ac:dyDescent="0.25">
      <c r="A21" s="8">
        <v>3020</v>
      </c>
      <c r="B21" s="9" t="s">
        <v>88</v>
      </c>
      <c r="C21" s="9" t="s">
        <v>75</v>
      </c>
      <c r="D21" s="32">
        <v>99924</v>
      </c>
      <c r="E21" s="38">
        <v>46755</v>
      </c>
    </row>
    <row r="23" spans="1:5" x14ac:dyDescent="0.25">
      <c r="A23" s="27" t="s">
        <v>101</v>
      </c>
      <c r="B23" s="18">
        <f>INDEX(A2:E21,MATCH("Employee 9",B2:B21,0),MATCH("Salary",A1:E1,0))</f>
        <v>90423</v>
      </c>
    </row>
    <row r="24" spans="1:5" x14ac:dyDescent="0.25">
      <c r="A24" s="40" t="s">
        <v>107</v>
      </c>
      <c r="B24" s="41" t="e">
        <f>INDEX(E2:E21, MATCH(1,(D2:D21="Person 10")*(MONTH(F2:F21)=5),0))</f>
        <v>#VALUE!</v>
      </c>
      <c r="C24" s="18">
        <v>107877</v>
      </c>
    </row>
    <row r="25" spans="1:5" x14ac:dyDescent="0.25">
      <c r="A25" s="27" t="s">
        <v>109</v>
      </c>
      <c r="B25" s="42">
        <v>38210</v>
      </c>
      <c r="C25" s="18">
        <f ca="1">DATEDIF(B25,TODAY(),"Y")</f>
        <v>21</v>
      </c>
    </row>
    <row r="26" spans="1:5" x14ac:dyDescent="0.25">
      <c r="A26" s="27" t="s">
        <v>110</v>
      </c>
      <c r="B26" s="18">
        <f ca="1">DATEDIF(B25,TODAY(),"D")</f>
        <v>7883</v>
      </c>
    </row>
    <row r="27" spans="1:5" x14ac:dyDescent="0.25">
      <c r="A27" s="39" t="s">
        <v>111</v>
      </c>
      <c r="B27" s="18">
        <f>ROUND(12.456,2)</f>
        <v>12.46</v>
      </c>
    </row>
    <row r="28" spans="1:5" x14ac:dyDescent="0.25">
      <c r="A28" s="39" t="s">
        <v>112</v>
      </c>
      <c r="B28" s="18">
        <f>CEILING(17,5)</f>
        <v>20</v>
      </c>
    </row>
    <row r="29" spans="1:5" x14ac:dyDescent="0.25">
      <c r="A29" s="39" t="s">
        <v>113</v>
      </c>
      <c r="B29" s="18">
        <f>FLOOR(17,5)</f>
        <v>15</v>
      </c>
    </row>
    <row r="30" spans="1:5" x14ac:dyDescent="0.25">
      <c r="A30" s="39" t="s">
        <v>115</v>
      </c>
      <c r="B30" s="18">
        <f ca="1">SUM(INDIRECT("Salary"))</f>
        <v>1586798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Students Grade</vt:lpstr>
      <vt:lpstr>Sales Id</vt:lpstr>
      <vt:lpstr>Sheet3</vt:lpstr>
      <vt:lpstr>Salary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2026-03-05T04:24:45Z</dcterms:created>
  <dcterms:modified xsi:type="dcterms:W3CDTF">2026-03-12T03:58:33Z</dcterms:modified>
</cp:coreProperties>
</file>